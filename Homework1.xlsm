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6440" windowHeight="70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1" l="1"/>
  <c r="K15" i="1"/>
  <c r="N15" i="1"/>
  <c r="O15" i="1"/>
  <c r="R15" i="1"/>
  <c r="S15" i="1"/>
  <c r="V15" i="1"/>
  <c r="W15" i="1"/>
  <c r="Z15" i="1"/>
  <c r="AA15" i="1"/>
  <c r="AD15" i="1"/>
  <c r="AE15" i="1"/>
  <c r="AH15" i="1"/>
  <c r="AI15" i="1"/>
  <c r="C5" i="1"/>
  <c r="H15" i="1" s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G15" i="1" l="1"/>
  <c r="AC15" i="1"/>
  <c r="Y15" i="1"/>
  <c r="U15" i="1"/>
  <c r="Q15" i="1"/>
  <c r="M15" i="1"/>
  <c r="I15" i="1"/>
  <c r="G15" i="1"/>
  <c r="AF15" i="1"/>
  <c r="AB15" i="1"/>
  <c r="X15" i="1"/>
  <c r="T15" i="1"/>
  <c r="P15" i="1"/>
  <c r="L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<sst xmlns="http://schemas.openxmlformats.org/spreadsheetml/2006/main" count="12" uniqueCount="11">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</sst>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23476158889630133"/>
          <c:w val="0.74362568566462683"/>
          <c:h val="0.680809526434195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Лист1!$G$12:$AK$12</c:f>
              <c:numCache>
                <c:formatCode>0.0000</c:formatCode>
                <c:ptCount val="31"/>
                <c:pt idx="0">
                  <c:v>3.0000000000000001E-3</c:v>
                </c:pt>
                <c:pt idx="1">
                  <c:v>6.0000000000000001E-3</c:v>
                </c:pt>
                <c:pt idx="2">
                  <c:v>9.0000000000000011E-3</c:v>
                </c:pt>
                <c:pt idx="3">
                  <c:v>1.2E-2</c:v>
                </c:pt>
                <c:pt idx="4">
                  <c:v>1.4999999999999999E-2</c:v>
                </c:pt>
                <c:pt idx="5">
                  <c:v>1.7999999999999999E-2</c:v>
                </c:pt>
                <c:pt idx="6">
                  <c:v>2.0999999999999998E-2</c:v>
                </c:pt>
                <c:pt idx="7">
                  <c:v>2.3999999999999997E-2</c:v>
                </c:pt>
                <c:pt idx="8">
                  <c:v>2.6999999999999996E-2</c:v>
                </c:pt>
                <c:pt idx="9">
                  <c:v>2.9999999999999995E-2</c:v>
                </c:pt>
                <c:pt idx="10">
                  <c:v>3.2999999999999995E-2</c:v>
                </c:pt>
                <c:pt idx="11">
                  <c:v>3.5999999999999997E-2</c:v>
                </c:pt>
                <c:pt idx="12">
                  <c:v>3.9E-2</c:v>
                </c:pt>
                <c:pt idx="13">
                  <c:v>4.2000000000000003E-2</c:v>
                </c:pt>
                <c:pt idx="14">
                  <c:v>4.5000000000000005E-2</c:v>
                </c:pt>
                <c:pt idx="15">
                  <c:v>4.8000000000000008E-2</c:v>
                </c:pt>
                <c:pt idx="16">
                  <c:v>5.1000000000000011E-2</c:v>
                </c:pt>
                <c:pt idx="17">
                  <c:v>5.4000000000000013E-2</c:v>
                </c:pt>
                <c:pt idx="18">
                  <c:v>5.7000000000000016E-2</c:v>
                </c:pt>
                <c:pt idx="19">
                  <c:v>6.0000000000000019E-2</c:v>
                </c:pt>
                <c:pt idx="20">
                  <c:v>6.3000000000000014E-2</c:v>
                </c:pt>
                <c:pt idx="21">
                  <c:v>6.6000000000000017E-2</c:v>
                </c:pt>
                <c:pt idx="22">
                  <c:v>6.900000000000002E-2</c:v>
                </c:pt>
                <c:pt idx="23">
                  <c:v>7.2000000000000022E-2</c:v>
                </c:pt>
                <c:pt idx="24">
                  <c:v>7.5000000000000025E-2</c:v>
                </c:pt>
                <c:pt idx="25">
                  <c:v>7.8000000000000028E-2</c:v>
                </c:pt>
                <c:pt idx="26">
                  <c:v>8.100000000000003E-2</c:v>
                </c:pt>
                <c:pt idx="27">
                  <c:v>8.4000000000000033E-2</c:v>
                </c:pt>
                <c:pt idx="28">
                  <c:v>8.7000000000000036E-2</c:v>
                </c:pt>
                <c:pt idx="29">
                  <c:v>9.0000000000000038E-2</c:v>
                </c:pt>
              </c:numCache>
            </c:numRef>
          </c:xVal>
          <c:yVal>
            <c:numRef>
              <c:f>Лист1!$G$13:$AK$13</c:f>
              <c:numCache>
                <c:formatCode>General</c:formatCode>
                <c:ptCount val="31"/>
                <c:pt idx="0">
                  <c:v>293.3333333333112</c:v>
                </c:pt>
                <c:pt idx="1">
                  <c:v>286.6666666666224</c:v>
                </c:pt>
                <c:pt idx="2">
                  <c:v>279.99999999993457</c:v>
                </c:pt>
                <c:pt idx="3">
                  <c:v>273.33333333324674</c:v>
                </c:pt>
                <c:pt idx="4">
                  <c:v>266.66666666656079</c:v>
                </c:pt>
                <c:pt idx="5">
                  <c:v>259.99999999987489</c:v>
                </c:pt>
                <c:pt idx="6">
                  <c:v>253.33333333319163</c:v>
                </c:pt>
                <c:pt idx="7">
                  <c:v>246.66666666650846</c:v>
                </c:pt>
                <c:pt idx="8">
                  <c:v>239.99999999982867</c:v>
                </c:pt>
                <c:pt idx="9">
                  <c:v>233.33333333314897</c:v>
                </c:pt>
                <c:pt idx="10">
                  <c:v>226.66666666647319</c:v>
                </c:pt>
                <c:pt idx="11">
                  <c:v>219.99999999979752</c:v>
                </c:pt>
                <c:pt idx="12">
                  <c:v>213.33333333312618</c:v>
                </c:pt>
                <c:pt idx="13">
                  <c:v>206.66666666645494</c:v>
                </c:pt>
                <c:pt idx="14">
                  <c:v>199.9999999997882</c:v>
                </c:pt>
                <c:pt idx="15">
                  <c:v>193.33333333312157</c:v>
                </c:pt>
                <c:pt idx="16">
                  <c:v>186.66666666645949</c:v>
                </c:pt>
                <c:pt idx="17">
                  <c:v>179.99999999979747</c:v>
                </c:pt>
                <c:pt idx="18">
                  <c:v>173.33333333313988</c:v>
                </c:pt>
                <c:pt idx="19">
                  <c:v>166.66666666648226</c:v>
                </c:pt>
                <c:pt idx="20">
                  <c:v>159.99999999982867</c:v>
                </c:pt>
                <c:pt idx="21">
                  <c:v>153.33333333317512</c:v>
                </c:pt>
                <c:pt idx="22">
                  <c:v>146.66666666652497</c:v>
                </c:pt>
                <c:pt idx="23">
                  <c:v>139.99999999987483</c:v>
                </c:pt>
                <c:pt idx="24">
                  <c:v>133.33333333322744</c:v>
                </c:pt>
                <c:pt idx="25">
                  <c:v>126.66666666658006</c:v>
                </c:pt>
                <c:pt idx="26">
                  <c:v>119.99999999993456</c:v>
                </c:pt>
                <c:pt idx="27">
                  <c:v>113.33333333328906</c:v>
                </c:pt>
                <c:pt idx="28">
                  <c:v>106.66666666664453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50-4142-A57D-9A54E839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49120"/>
        <c:axId val="375549904"/>
      </c:scatterChart>
      <c:valAx>
        <c:axId val="37554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904"/>
        <c:crosses val="autoZero"/>
        <c:crossBetween val="midCat"/>
      </c:valAx>
      <c:valAx>
        <c:axId val="375549904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413657</xdr:colOff>
      <xdr:row>15</xdr:row>
      <xdr:rowOff>130629</xdr:rowOff>
    </xdr:from>
    <xdr:to>
      <xdr:col>28</xdr:col>
      <xdr:colOff>65313</xdr:colOff>
      <xdr:row>32</xdr:row>
      <xdr:rowOff>141515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10883</xdr:colOff>
      <xdr:row>17</xdr:row>
      <xdr:rowOff>76200</xdr:rowOff>
    </xdr:from>
    <xdr:ext cx="566059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𝑇,[𝑐]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26</xdr:col>
      <xdr:colOff>304801</xdr:colOff>
      <xdr:row>30</xdr:row>
      <xdr:rowOff>163287</xdr:rowOff>
    </xdr:from>
    <xdr:ext cx="62048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268201" y="5715001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268201" y="5715001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𝐿[𝑚]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J16"/>
  <sheetViews>
    <sheetView tabSelected="1" zoomScale="70" zoomScaleNormal="70" workbookViewId="0">
      <selection activeCell="W4" sqref="W4"/>
    </sheetView>
  </sheetViews>
  <sheetFormatPr defaultRowHeight="15" x14ac:dyDescent="0.25"/>
  <cols>
    <col min="6" max="36" width="6.28515625" customWidth="1"/>
  </cols>
  <sheetData>
    <row r="1" spans="2:36" x14ac:dyDescent="0.25">
      <c r="B1" s="3"/>
      <c r="C1" s="3"/>
    </row>
    <row r="2" spans="2:36" x14ac:dyDescent="0.25">
      <c r="B2" s="3"/>
      <c r="C2" s="3"/>
    </row>
    <row r="3" spans="2:36" x14ac:dyDescent="0.25">
      <c r="B3" s="3" t="s">
        <v>0</v>
      </c>
      <c r="C3" s="3">
        <v>0.1</v>
      </c>
    </row>
    <row r="4" spans="2:36" x14ac:dyDescent="0.25">
      <c r="B4" s="3" t="s">
        <v>1</v>
      </c>
      <c r="C4" s="3">
        <v>3.0000000000000001E-3</v>
      </c>
    </row>
    <row r="5" spans="2:36" x14ac:dyDescent="0.25">
      <c r="B5" s="3" t="s">
        <v>2</v>
      </c>
      <c r="C5" s="3">
        <f>(C9*C8*C4^2)/(2*C10)</f>
        <v>0.35100000000000003</v>
      </c>
    </row>
    <row r="6" spans="2:36" x14ac:dyDescent="0.25">
      <c r="B6" s="3" t="s">
        <v>3</v>
      </c>
      <c r="C6" s="3">
        <v>5000</v>
      </c>
      <c r="D6">
        <v>0.70200000000000007</v>
      </c>
    </row>
    <row r="7" spans="2:36" x14ac:dyDescent="0.25">
      <c r="B7" s="3"/>
      <c r="C7" s="3"/>
    </row>
    <row r="8" spans="2:36" x14ac:dyDescent="0.25">
      <c r="B8" s="3" t="s">
        <v>4</v>
      </c>
      <c r="C8" s="3">
        <v>460</v>
      </c>
    </row>
    <row r="9" spans="2:36" x14ac:dyDescent="0.25">
      <c r="B9" s="3" t="s">
        <v>5</v>
      </c>
      <c r="C9" s="3">
        <v>7800</v>
      </c>
    </row>
    <row r="10" spans="2:36" x14ac:dyDescent="0.25">
      <c r="B10" s="3" t="s">
        <v>6</v>
      </c>
      <c r="C10" s="3">
        <v>46</v>
      </c>
    </row>
    <row r="11" spans="2:36" x14ac:dyDescent="0.25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3" t="s">
        <v>8</v>
      </c>
      <c r="C12" s="3">
        <v>300</v>
      </c>
      <c r="E12" t="s">
        <v>0</v>
      </c>
      <c r="F12" s="2">
        <v>0</v>
      </c>
      <c r="G12" s="2">
        <f>F12+$C$4</f>
        <v>3.0000000000000001E-3</v>
      </c>
      <c r="H12" s="2">
        <f t="shared" ref="H12:AJ12" si="0">G12+$C$4</f>
        <v>6.0000000000000001E-3</v>
      </c>
      <c r="I12" s="2">
        <f t="shared" si="0"/>
        <v>9.0000000000000011E-3</v>
      </c>
      <c r="J12" s="2">
        <f t="shared" si="0"/>
        <v>1.2E-2</v>
      </c>
      <c r="K12" s="2">
        <f t="shared" si="0"/>
        <v>1.4999999999999999E-2</v>
      </c>
      <c r="L12" s="2">
        <f t="shared" si="0"/>
        <v>1.7999999999999999E-2</v>
      </c>
      <c r="M12" s="2">
        <f t="shared" si="0"/>
        <v>2.0999999999999998E-2</v>
      </c>
      <c r="N12" s="2">
        <f t="shared" si="0"/>
        <v>2.3999999999999997E-2</v>
      </c>
      <c r="O12" s="2">
        <f t="shared" si="0"/>
        <v>2.6999999999999996E-2</v>
      </c>
      <c r="P12" s="2">
        <f t="shared" si="0"/>
        <v>2.9999999999999995E-2</v>
      </c>
      <c r="Q12" s="2">
        <f t="shared" si="0"/>
        <v>3.2999999999999995E-2</v>
      </c>
      <c r="R12" s="2">
        <f t="shared" si="0"/>
        <v>3.5999999999999997E-2</v>
      </c>
      <c r="S12" s="2">
        <f t="shared" si="0"/>
        <v>3.9E-2</v>
      </c>
      <c r="T12" s="2">
        <f t="shared" si="0"/>
        <v>4.2000000000000003E-2</v>
      </c>
      <c r="U12" s="2">
        <f t="shared" si="0"/>
        <v>4.5000000000000005E-2</v>
      </c>
      <c r="V12" s="2">
        <f t="shared" si="0"/>
        <v>4.8000000000000008E-2</v>
      </c>
      <c r="W12" s="2">
        <f t="shared" si="0"/>
        <v>5.1000000000000011E-2</v>
      </c>
      <c r="X12" s="2">
        <f t="shared" si="0"/>
        <v>5.4000000000000013E-2</v>
      </c>
      <c r="Y12" s="2">
        <f t="shared" si="0"/>
        <v>5.7000000000000016E-2</v>
      </c>
      <c r="Z12" s="2">
        <f t="shared" si="0"/>
        <v>6.0000000000000019E-2</v>
      </c>
      <c r="AA12" s="2">
        <f t="shared" si="0"/>
        <v>6.3000000000000014E-2</v>
      </c>
      <c r="AB12" s="2">
        <f t="shared" si="0"/>
        <v>6.6000000000000017E-2</v>
      </c>
      <c r="AC12" s="2">
        <f t="shared" si="0"/>
        <v>6.900000000000002E-2</v>
      </c>
      <c r="AD12" s="2">
        <f t="shared" si="0"/>
        <v>7.2000000000000022E-2</v>
      </c>
      <c r="AE12" s="2">
        <f t="shared" si="0"/>
        <v>7.5000000000000025E-2</v>
      </c>
      <c r="AF12" s="2">
        <f t="shared" si="0"/>
        <v>7.8000000000000028E-2</v>
      </c>
      <c r="AG12" s="2">
        <f t="shared" si="0"/>
        <v>8.100000000000003E-2</v>
      </c>
      <c r="AH12" s="2">
        <f t="shared" si="0"/>
        <v>8.4000000000000033E-2</v>
      </c>
      <c r="AI12" s="2">
        <f t="shared" si="0"/>
        <v>8.7000000000000036E-2</v>
      </c>
      <c r="AJ12" s="2">
        <f t="shared" si="0"/>
        <v>9.0000000000000038E-2</v>
      </c>
    </row>
    <row r="13" spans="2:36" x14ac:dyDescent="0.25">
      <c r="B13" s="3" t="s">
        <v>9</v>
      </c>
      <c r="C13" s="3">
        <v>100</v>
      </c>
      <c r="E13" t="s">
        <v>7</v>
      </c>
      <c r="F13" s="1">
        <f>C12</f>
        <v>300</v>
      </c>
      <c r="G13" s="3">
        <v>293.3333333333112</v>
      </c>
      <c r="H13" s="3">
        <v>286.6666666666224</v>
      </c>
      <c r="I13" s="3">
        <v>279.99999999993457</v>
      </c>
      <c r="J13" s="3">
        <v>273.33333333324674</v>
      </c>
      <c r="K13" s="3">
        <v>266.66666666656079</v>
      </c>
      <c r="L13" s="3">
        <v>259.99999999987489</v>
      </c>
      <c r="M13" s="3">
        <v>253.33333333319163</v>
      </c>
      <c r="N13" s="3">
        <v>246.66666666650846</v>
      </c>
      <c r="O13" s="3">
        <v>239.99999999982867</v>
      </c>
      <c r="P13" s="3">
        <v>233.33333333314897</v>
      </c>
      <c r="Q13" s="3">
        <v>226.66666666647319</v>
      </c>
      <c r="R13" s="3">
        <v>219.99999999979752</v>
      </c>
      <c r="S13" s="3">
        <v>213.33333333312618</v>
      </c>
      <c r="T13" s="3">
        <v>206.66666666645494</v>
      </c>
      <c r="U13" s="3">
        <v>199.9999999997882</v>
      </c>
      <c r="V13" s="3">
        <v>193.33333333312157</v>
      </c>
      <c r="W13" s="3">
        <v>186.66666666645949</v>
      </c>
      <c r="X13" s="3">
        <v>179.99999999979747</v>
      </c>
      <c r="Y13" s="3">
        <v>173.33333333313988</v>
      </c>
      <c r="Z13" s="3">
        <v>166.66666666648226</v>
      </c>
      <c r="AA13" s="3">
        <v>159.99999999982867</v>
      </c>
      <c r="AB13" s="3">
        <v>153.33333333317512</v>
      </c>
      <c r="AC13" s="3">
        <v>146.66666666652497</v>
      </c>
      <c r="AD13" s="3">
        <v>139.99999999987483</v>
      </c>
      <c r="AE13" s="3">
        <v>133.33333333322744</v>
      </c>
      <c r="AF13" s="3">
        <v>126.66666666658006</v>
      </c>
      <c r="AG13" s="3">
        <v>119.99999999993456</v>
      </c>
      <c r="AH13" s="3">
        <v>113.33333333328906</v>
      </c>
      <c r="AI13" s="3">
        <v>106.66666666664453</v>
      </c>
      <c r="AJ13" s="1">
        <f>C13</f>
        <v>100</v>
      </c>
    </row>
    <row r="15" spans="2:36" x14ac:dyDescent="0.25">
      <c r="E15" t="s">
        <v>10</v>
      </c>
      <c r="G15" s="1">
        <f>G13+(($C$10*$C$5)/($C$9*$C$8))*((H13-2*G13+F13)/($C$4^2))</f>
        <v>293.3333333333112</v>
      </c>
      <c r="H15" s="1">
        <f t="shared" ref="H15:AI15" si="1">H13+(($C$10*$C$5)/($C$9*$C$8))*((I13-2*H13+G13)/($C$4^2))</f>
        <v>286.66666666662286</v>
      </c>
      <c r="I15" s="1">
        <f t="shared" si="1"/>
        <v>279.99999999993457</v>
      </c>
      <c r="J15" s="1">
        <f t="shared" si="1"/>
        <v>273.33333333324765</v>
      </c>
      <c r="K15" s="1">
        <f t="shared" si="1"/>
        <v>266.66666666656079</v>
      </c>
      <c r="L15" s="1">
        <f t="shared" si="1"/>
        <v>259.9999999998762</v>
      </c>
      <c r="M15" s="1">
        <f t="shared" si="1"/>
        <v>253.33333333319166</v>
      </c>
      <c r="N15" s="1">
        <f t="shared" si="1"/>
        <v>246.66666666651014</v>
      </c>
      <c r="O15" s="1">
        <f t="shared" si="1"/>
        <v>239.99999999982873</v>
      </c>
      <c r="P15" s="1">
        <f t="shared" si="1"/>
        <v>233.33333333315093</v>
      </c>
      <c r="Q15" s="1">
        <f t="shared" si="1"/>
        <v>226.66666666647325</v>
      </c>
      <c r="R15" s="1">
        <f t="shared" si="1"/>
        <v>219.99999999979968</v>
      </c>
      <c r="S15" s="1">
        <f t="shared" si="1"/>
        <v>213.33333333312623</v>
      </c>
      <c r="T15" s="1">
        <f t="shared" si="1"/>
        <v>206.66666666645719</v>
      </c>
      <c r="U15" s="1">
        <f t="shared" si="1"/>
        <v>199.99999999978826</v>
      </c>
      <c r="V15" s="1">
        <f t="shared" si="1"/>
        <v>193.33333333312385</v>
      </c>
      <c r="W15" s="1">
        <f t="shared" si="1"/>
        <v>186.66666666645952</v>
      </c>
      <c r="X15" s="1">
        <f t="shared" si="1"/>
        <v>179.99999999979968</v>
      </c>
      <c r="Y15" s="1">
        <f t="shared" si="1"/>
        <v>173.33333333313988</v>
      </c>
      <c r="Z15" s="1">
        <f t="shared" si="1"/>
        <v>166.66666666648428</v>
      </c>
      <c r="AA15" s="1">
        <f t="shared" si="1"/>
        <v>159.99999999982867</v>
      </c>
      <c r="AB15" s="1">
        <f t="shared" si="1"/>
        <v>153.33333333317682</v>
      </c>
      <c r="AC15" s="1">
        <f t="shared" si="1"/>
        <v>146.66666666652497</v>
      </c>
      <c r="AD15" s="1">
        <f t="shared" si="1"/>
        <v>139.9999999998762</v>
      </c>
      <c r="AE15" s="1">
        <f t="shared" si="1"/>
        <v>133.33333333322744</v>
      </c>
      <c r="AF15" s="1">
        <f t="shared" si="1"/>
        <v>126.66666666658101</v>
      </c>
      <c r="AG15" s="1">
        <f t="shared" si="1"/>
        <v>119.99999999993456</v>
      </c>
      <c r="AH15" s="1">
        <f t="shared" si="1"/>
        <v>113.33333333328954</v>
      </c>
      <c r="AI15" s="1">
        <f t="shared" si="1"/>
        <v>106.66666666664453</v>
      </c>
    </row>
    <row r="16" spans="2:36" x14ac:dyDescent="0.25">
      <c r="G16" s="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 Windows</cp:lastModifiedBy>
  <dcterms:created xsi:type="dcterms:W3CDTF">2021-09-14T09:40:46Z</dcterms:created>
  <dcterms:modified xsi:type="dcterms:W3CDTF">2021-09-23T21:25:44Z</dcterms:modified>
</cp:coreProperties>
</file>