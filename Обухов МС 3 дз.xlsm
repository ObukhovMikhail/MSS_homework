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bookViews>
    <workbookView minimized="1" xWindow="0" yWindow="0" windowWidth="20490" windowHeight="7050" activeTab="1"/>
  </bookViews>
  <sheets>
    <sheet name="Явная схема" sheetId="1" r:id="rId1"/>
    <sheet name="Неявная схема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" l="1"/>
  <c r="AH22" i="4" s="1"/>
  <c r="C5" i="1"/>
  <c r="H5" i="1" s="1"/>
  <c r="F21" i="4"/>
  <c r="AJ16" i="4"/>
  <c r="AJ13" i="4"/>
  <c r="F13" i="4"/>
  <c r="C4" i="4"/>
  <c r="C15" i="4" s="1"/>
  <c r="C16" i="4" l="1"/>
  <c r="C17" i="4"/>
  <c r="G22" i="4"/>
  <c r="K22" i="4"/>
  <c r="O22" i="4"/>
  <c r="S22" i="4"/>
  <c r="W22" i="4"/>
  <c r="AA22" i="4"/>
  <c r="AE22" i="4"/>
  <c r="AI22" i="4"/>
  <c r="H22" i="4"/>
  <c r="L22" i="4"/>
  <c r="P22" i="4"/>
  <c r="T22" i="4"/>
  <c r="X22" i="4"/>
  <c r="AB22" i="4"/>
  <c r="AF22" i="4"/>
  <c r="AG22" i="4"/>
  <c r="I22" i="4"/>
  <c r="M22" i="4"/>
  <c r="Q22" i="4"/>
  <c r="U22" i="4"/>
  <c r="Y22" i="4"/>
  <c r="AC22" i="4"/>
  <c r="G12" i="4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F22" i="4"/>
  <c r="J22" i="4"/>
  <c r="N22" i="4"/>
  <c r="R22" i="4"/>
  <c r="V22" i="4"/>
  <c r="Z22" i="4"/>
  <c r="AD22" i="4"/>
  <c r="H16" i="1"/>
  <c r="G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AJ13" i="1"/>
  <c r="F13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C4" i="1"/>
  <c r="G21" i="4" l="1"/>
  <c r="G20" i="4"/>
  <c r="H20" i="4"/>
  <c r="I20" i="4" l="1"/>
  <c r="H21" i="4"/>
  <c r="I21" i="4" s="1"/>
  <c r="J21" i="4" s="1"/>
  <c r="J20" i="4" l="1"/>
  <c r="K20" i="4" l="1"/>
  <c r="K21" i="4"/>
  <c r="L21" i="4" s="1"/>
  <c r="L20" i="4" l="1"/>
  <c r="M20" i="4" l="1"/>
  <c r="M21" i="4"/>
  <c r="N21" i="4" s="1"/>
  <c r="N20" i="4" l="1"/>
  <c r="O20" i="4" l="1"/>
  <c r="O21" i="4"/>
  <c r="P21" i="4" s="1"/>
  <c r="P20" i="4" l="1"/>
  <c r="Q20" i="4" l="1"/>
  <c r="Q21" i="4"/>
  <c r="R21" i="4" s="1"/>
  <c r="R20" i="4" l="1"/>
  <c r="S20" i="4" l="1"/>
  <c r="S21" i="4"/>
  <c r="T21" i="4" s="1"/>
  <c r="T20" i="4" l="1"/>
  <c r="U21" i="4" s="1"/>
  <c r="U20" i="4" l="1"/>
  <c r="V20" i="4" l="1"/>
  <c r="V21" i="4"/>
  <c r="W21" i="4" s="1"/>
  <c r="W20" i="4" l="1"/>
  <c r="X20" i="4" l="1"/>
  <c r="X21" i="4"/>
  <c r="Y21" i="4" s="1"/>
  <c r="Y20" i="4" l="1"/>
  <c r="Z21" i="4" s="1"/>
  <c r="Z20" i="4" l="1"/>
  <c r="AA20" i="4" l="1"/>
  <c r="AA21" i="4"/>
  <c r="AB21" i="4" s="1"/>
  <c r="AB20" i="4" l="1"/>
  <c r="AC20" i="4" l="1"/>
  <c r="AC21" i="4"/>
  <c r="AD21" i="4" s="1"/>
  <c r="AD20" i="4" l="1"/>
  <c r="AE20" i="4" l="1"/>
  <c r="AE21" i="4"/>
  <c r="AF21" i="4" s="1"/>
  <c r="AF20" i="4" l="1"/>
  <c r="AG20" i="4" l="1"/>
  <c r="AG21" i="4"/>
  <c r="AH20" i="4" l="1"/>
  <c r="AH21" i="4"/>
  <c r="AI21" i="4" l="1"/>
  <c r="AI20" i="4"/>
  <c r="AI16" i="4" l="1"/>
  <c r="AH16" i="4" s="1"/>
  <c r="AG16" i="4" s="1"/>
  <c r="AF16" i="4" s="1"/>
  <c r="AE16" i="4" s="1"/>
  <c r="AD16" i="4" s="1"/>
  <c r="AC16" i="4" s="1"/>
  <c r="AB16" i="4" s="1"/>
  <c r="AA16" i="4" s="1"/>
  <c r="Z16" i="4" s="1"/>
  <c r="Y16" i="4" s="1"/>
  <c r="X16" i="4" s="1"/>
  <c r="W16" i="4" s="1"/>
  <c r="V16" i="4" s="1"/>
  <c r="U16" i="4" s="1"/>
  <c r="T16" i="4" s="1"/>
  <c r="S16" i="4" s="1"/>
  <c r="R16" i="4" s="1"/>
  <c r="Q16" i="4" s="1"/>
  <c r="P16" i="4" s="1"/>
  <c r="O16" i="4" s="1"/>
  <c r="N16" i="4" s="1"/>
  <c r="M16" i="4" s="1"/>
  <c r="L16" i="4" s="1"/>
  <c r="K16" i="4" s="1"/>
  <c r="J16" i="4" s="1"/>
  <c r="I16" i="4" s="1"/>
  <c r="H16" i="4" s="1"/>
  <c r="G16" i="4" s="1"/>
</calcChain>
</file>

<file path=xl/sharedStrings.xml><?xml version="1.0" encoding="utf-8"?>
<sst xmlns="http://schemas.openxmlformats.org/spreadsheetml/2006/main" count="30" uniqueCount="17">
  <si>
    <t>L</t>
  </si>
  <si>
    <t>dx</t>
  </si>
  <si>
    <t>dt</t>
  </si>
  <si>
    <t>t</t>
  </si>
  <si>
    <t>Cp</t>
  </si>
  <si>
    <t>r0</t>
  </si>
  <si>
    <t>lamda</t>
  </si>
  <si>
    <t>T</t>
  </si>
  <si>
    <t>T_start</t>
  </si>
  <si>
    <t>T_end</t>
  </si>
  <si>
    <t>T_iter</t>
  </si>
  <si>
    <t>A</t>
  </si>
  <si>
    <t>B</t>
  </si>
  <si>
    <t>C</t>
  </si>
  <si>
    <t>α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</si>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</sst>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"/>
    <numFmt numFmtId="165" formatCode="0.E+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1" xfId="0" applyNumberFormat="1" applyBorder="1"/>
    <xf numFmtId="0" fontId="0" fillId="0" borderId="0" xfId="0" applyAlignment="1">
      <alignment horizontal="center"/>
    </xf>
    <xf numFmtId="165" fontId="0" fillId="0" borderId="0" xfId="0" applyNumberFormat="1"/>
    <xf numFmtId="0" fontId="1" fillId="0" borderId="0" xfId="0" applyFont="1"/>
    <xf numFmtId="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44-4446-AF34-DB2DB105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46-4FC2-AB5E-BF82D5266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'Неявная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280.35167641066431</c:v>
                </c:pt>
                <c:pt idx="2">
                  <c:v>260.8717063164483</c:v>
                </c:pt>
                <c:pt idx="3">
                  <c:v>241.72522650740132</c:v>
                </c:pt>
                <c:pt idx="4">
                  <c:v>223.07105882213924</c:v>
                </c:pt>
                <c:pt idx="5">
                  <c:v>205.05884148220761</c:v>
                </c:pt>
                <c:pt idx="6">
                  <c:v>187.82648705928517</c:v>
                </c:pt>
                <c:pt idx="7">
                  <c:v>171.4980444715784</c:v>
                </c:pt>
                <c:pt idx="8">
                  <c:v>156.18201874307198</c:v>
                </c:pt>
                <c:pt idx="9">
                  <c:v>141.97017644810035</c:v>
                </c:pt>
                <c:pt idx="10">
                  <c:v>128.93683876697091</c:v>
                </c:pt>
                <c:pt idx="11">
                  <c:v>117.13863978503235</c:v>
                </c:pt>
                <c:pt idx="12">
                  <c:v>106.61470672871378</c:v>
                </c:pt>
                <c:pt idx="13">
                  <c:v>97.387202527873725</c:v>
                </c:pt>
                <c:pt idx="14">
                  <c:v>89.462160242990052</c:v>
                </c:pt>
                <c:pt idx="15">
                  <c:v>82.830533813546708</c:v>
                </c:pt>
                <c:pt idx="16">
                  <c:v>77.469390089732968</c:v>
                </c:pt>
                <c:pt idx="17">
                  <c:v>73.343172579225552</c:v>
                </c:pt>
                <c:pt idx="18">
                  <c:v>70.404976796274354</c:v>
                </c:pt>
                <c:pt idx="19">
                  <c:v>68.597789324133842</c:v>
                </c:pt>
                <c:pt idx="20">
                  <c:v>67.855656364940188</c:v>
                </c:pt>
                <c:pt idx="21">
                  <c:v>68.104761340447936</c:v>
                </c:pt>
                <c:pt idx="22">
                  <c:v>69.26440384241495</c:v>
                </c:pt>
                <c:pt idx="23">
                  <c:v>71.247882961267763</c:v>
                </c:pt>
                <c:pt idx="24">
                  <c:v>73.963296091004551</c:v>
                </c:pt>
                <c:pt idx="25">
                  <c:v>77.314269394680196</c:v>
                </c:pt>
                <c:pt idx="26">
                  <c:v>81.200638231069192</c:v>
                </c:pt>
                <c:pt idx="27">
                  <c:v>85.519095308103189</c:v>
                </c:pt>
                <c:pt idx="28">
                  <c:v>90.163821710595016</c:v>
                </c:pt>
                <c:pt idx="29">
                  <c:v>95.027111987863847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51-4B7E-AB6D-88C7A12D99DA}"/>
            </c:ext>
          </c:extLst>
        </c:ser>
        <c:ser>
          <c:idx val="1"/>
          <c:order val="1"/>
          <c:spPr>
            <a:ln w="19050" cap="rnd">
              <a:solidFill>
                <a:schemeClr val="tx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451-4B7E-AB6D-88C7A12D9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29600"/>
        <c:axId val="410031680"/>
      </c:scatterChart>
      <c:valAx>
        <c:axId val="41002960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31680"/>
        <c:crosses val="autoZero"/>
        <c:crossBetween val="midCat"/>
      </c:valAx>
      <c:valAx>
        <c:axId val="41003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0029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19845</xdr:colOff>
      <xdr:row>21</xdr:row>
      <xdr:rowOff>0</xdr:rowOff>
    </xdr:from>
    <xdr:to>
      <xdr:col>13</xdr:col>
      <xdr:colOff>1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6A7FCA1-F4A2-456B-8A8A-41F2B9AEA9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83AA430D-DAE7-4EFC-B42A-FED0E3ADF000}"/>
                </a:ext>
              </a:extLst>
            </xdr:cNvPr>
            <xdr:cNvSpPr txBox="1"/>
          </xdr:nvSpPr>
          <xdr:spPr>
            <a:xfrm>
              <a:off x="3400236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AAC513B5-F1E9-45AE-AFED-1B07C3A3E5DC}"/>
                </a:ext>
              </a:extLst>
            </xdr:cNvPr>
            <xdr:cNvSpPr txBox="1"/>
          </xdr:nvSpPr>
          <xdr:spPr>
            <a:xfrm>
              <a:off x="7021100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22</xdr:row>
      <xdr:rowOff>135081</xdr:rowOff>
    </xdr:from>
    <xdr:to>
      <xdr:col>12</xdr:col>
      <xdr:colOff>138545</xdr:colOff>
      <xdr:row>48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5E992BC7-28DD-41A3-A9AE-AC2DFC1E3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335671</xdr:colOff>
      <xdr:row>22</xdr:row>
      <xdr:rowOff>184325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B9E3AF-9F4A-4C1D-8D4B-D1F20765C1FD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68B9E3AF-9F4A-4C1D-8D4B-D1F20765C1FD}"/>
                </a:ext>
              </a:extLst>
            </xdr:cNvPr>
            <xdr:cNvSpPr txBox="1"/>
          </xdr:nvSpPr>
          <xdr:spPr>
            <a:xfrm>
              <a:off x="3383671" y="4375325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800" b="0" i="0">
                  <a:latin typeface="Cambria Math" panose="02040503050406030204" pitchFamily="18" charset="0"/>
                </a:rPr>
                <a:t>𝑇,[𝐶]</a:t>
              </a:r>
              <a:endParaRPr lang="ru-RU" sz="1800"/>
            </a:p>
          </xdr:txBody>
        </xdr:sp>
      </mc:Fallback>
    </mc:AlternateContent>
    <xdr:clientData/>
  </xdr:oneCellAnchor>
  <xdr:oneCellAnchor>
    <xdr:from>
      <xdr:col>11</xdr:col>
      <xdr:colOff>129482</xdr:colOff>
      <xdr:row>46</xdr:row>
      <xdr:rowOff>157430</xdr:rowOff>
    </xdr:from>
    <xdr:ext cx="567133" cy="281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9FF46F7-2C53-4D98-B2DC-E8836DC589C0}"/>
                </a:ext>
              </a:extLst>
            </xdr:cNvPr>
            <xdr:cNvSpPr txBox="1"/>
          </xdr:nvSpPr>
          <xdr:spPr>
            <a:xfrm>
              <a:off x="7301807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14:m>
                <m:oMath xmlns:m="http://schemas.openxmlformats.org/officeDocument/2006/math">
                  <m:r>
                    <a:rPr lang="en-US" sz="1800" b="0" i="1">
                      <a:latin typeface="Cambria Math" panose="02040503050406030204" pitchFamily="18" charset="0"/>
                    </a:rPr>
                    <m:t>,[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𝑚</m:t>
                  </m:r>
                  <m:r>
                    <a:rPr lang="en-US" sz="1800" b="0" i="1">
                      <a:latin typeface="Cambria Math" panose="02040503050406030204" pitchFamily="18" charset="0"/>
                    </a:rPr>
                    <m:t>]</m:t>
                  </m:r>
                </m:oMath>
              </a14:m>
              <a:endParaRPr lang="ru-RU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79FF46F7-2C53-4D98-B2DC-E8836DC589C0}"/>
                </a:ext>
              </a:extLst>
            </xdr:cNvPr>
            <xdr:cNvSpPr txBox="1"/>
          </xdr:nvSpPr>
          <xdr:spPr>
            <a:xfrm>
              <a:off x="7301807" y="8920430"/>
              <a:ext cx="567133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800" b="0"/>
                <a:t>L</a:t>
              </a:r>
              <a:r>
                <a:rPr lang="en-US" sz="1800" b="0" i="0">
                  <a:latin typeface="Cambria Math" panose="02040503050406030204" pitchFamily="18" charset="0"/>
                </a:rPr>
                <a:t>,[𝑚]</a:t>
              </a:r>
              <a:endParaRPr lang="ru-RU" sz="1800"/>
            </a:p>
          </xdr:txBody>
        </xdr:sp>
      </mc:Fallback>
    </mc:AlternateContent>
    <xdr:clientData/>
  </xdr:oneCellAnchor>
  <xdr:twoCellAnchor>
    <xdr:from>
      <xdr:col>17</xdr:col>
      <xdr:colOff>0</xdr:colOff>
      <xdr:row>23</xdr:row>
      <xdr:rowOff>0</xdr:rowOff>
    </xdr:from>
    <xdr:to>
      <xdr:col>24</xdr:col>
      <xdr:colOff>315439</xdr:colOff>
      <xdr:row>48</xdr:row>
      <xdr:rowOff>142009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EDB03C41-EAED-4694-AAAF-A50C26B60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6"/>
  <sheetViews>
    <sheetView zoomScale="59" zoomScaleNormal="59" workbookViewId="0">
      <selection activeCell="O24" sqref="O24"/>
    </sheetView>
  </sheetViews>
  <sheetFormatPr defaultRowHeight="15" x14ac:dyDescent="0.25"/>
  <cols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2</f>
        <v>2</v>
      </c>
      <c r="H5">
        <f>C5/C4</f>
        <v>600</v>
      </c>
    </row>
    <row r="6" spans="2:36" x14ac:dyDescent="0.25">
      <c r="B6" s="1" t="s">
        <v>3</v>
      </c>
      <c r="C6" s="1">
        <v>60</v>
      </c>
      <c r="D6">
        <v>62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>
        <f>C12</f>
        <v>300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f>C13</f>
        <v>100</v>
      </c>
    </row>
    <row r="16" spans="2:36" x14ac:dyDescent="0.25">
      <c r="E16" t="s">
        <v>10</v>
      </c>
      <c r="G16">
        <f>G13+(($C$10*$C$5)/($C$9*$C$8))*( (H13-2*G13+F13)/($C$4^2))</f>
        <v>692.30769230769215</v>
      </c>
      <c r="H16">
        <f>H13+(($C$10*$C$5)/($C$9*$C$8))*( (I13-2*H13+G13)/($C$4^2))</f>
        <v>0</v>
      </c>
      <c r="I16">
        <f t="shared" ref="I16:AI16" si="1">I13+(($C$10*$C$5)/($C$9*$C$8))*( (J13-2*I13+H13)/($C$4^2))</f>
        <v>0</v>
      </c>
      <c r="J16">
        <f t="shared" si="1"/>
        <v>0</v>
      </c>
      <c r="K16">
        <f t="shared" si="1"/>
        <v>0</v>
      </c>
      <c r="L16">
        <f t="shared" si="1"/>
        <v>0</v>
      </c>
      <c r="M16">
        <f t="shared" si="1"/>
        <v>0</v>
      </c>
      <c r="N16">
        <f t="shared" si="1"/>
        <v>0</v>
      </c>
      <c r="O16">
        <f t="shared" si="1"/>
        <v>0</v>
      </c>
      <c r="P16">
        <f t="shared" si="1"/>
        <v>0</v>
      </c>
      <c r="Q16">
        <f t="shared" si="1"/>
        <v>0</v>
      </c>
      <c r="R16">
        <f t="shared" si="1"/>
        <v>0</v>
      </c>
      <c r="S16">
        <f t="shared" si="1"/>
        <v>0</v>
      </c>
      <c r="T16">
        <f t="shared" si="1"/>
        <v>0</v>
      </c>
      <c r="U16">
        <f t="shared" si="1"/>
        <v>0</v>
      </c>
      <c r="V16">
        <f t="shared" si="1"/>
        <v>0</v>
      </c>
      <c r="W16">
        <f t="shared" si="1"/>
        <v>0</v>
      </c>
      <c r="X16">
        <f t="shared" si="1"/>
        <v>0</v>
      </c>
      <c r="Y16">
        <f t="shared" si="1"/>
        <v>0</v>
      </c>
      <c r="Z16">
        <f t="shared" si="1"/>
        <v>0</v>
      </c>
      <c r="AA16">
        <f t="shared" si="1"/>
        <v>0</v>
      </c>
      <c r="AB16">
        <f t="shared" si="1"/>
        <v>0</v>
      </c>
      <c r="AC16">
        <f t="shared" si="1"/>
        <v>0</v>
      </c>
      <c r="AD16">
        <f t="shared" si="1"/>
        <v>0</v>
      </c>
      <c r="AE16">
        <f t="shared" si="1"/>
        <v>0</v>
      </c>
      <c r="AF16">
        <f t="shared" si="1"/>
        <v>0</v>
      </c>
      <c r="AG16">
        <f t="shared" si="1"/>
        <v>0</v>
      </c>
      <c r="AH16">
        <f t="shared" si="1"/>
        <v>0</v>
      </c>
      <c r="AI16">
        <f t="shared" si="1"/>
        <v>230.76923076923072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J22"/>
  <sheetViews>
    <sheetView tabSelected="1" topLeftCell="A7" zoomScale="70" zoomScaleNormal="70" workbookViewId="0">
      <selection activeCell="N8" sqref="N8"/>
    </sheetView>
  </sheetViews>
  <sheetFormatPr defaultRowHeight="15" x14ac:dyDescent="0.25"/>
  <cols>
    <col min="6" max="6" width="12.7109375" bestFit="1" customWidth="1"/>
    <col min="7" max="7" width="12.5703125" bestFit="1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1">
        <f>C3/30</f>
        <v>3.3333333333333335E-3</v>
      </c>
    </row>
    <row r="5" spans="2:36" x14ac:dyDescent="0.25">
      <c r="B5" s="1" t="s">
        <v>2</v>
      </c>
      <c r="C5" s="1">
        <f>'Явная схема'!C5</f>
        <v>2</v>
      </c>
    </row>
    <row r="6" spans="2:36" x14ac:dyDescent="0.25">
      <c r="B6" s="1" t="s">
        <v>3</v>
      </c>
      <c r="C6" s="1">
        <v>60</v>
      </c>
      <c r="D6">
        <v>62</v>
      </c>
    </row>
    <row r="8" spans="2:36" x14ac:dyDescent="0.25">
      <c r="B8" s="1" t="s">
        <v>4</v>
      </c>
      <c r="C8" s="1">
        <v>460</v>
      </c>
    </row>
    <row r="9" spans="2:36" x14ac:dyDescent="0.25">
      <c r="B9" s="1" t="s">
        <v>5</v>
      </c>
      <c r="C9" s="1">
        <v>7800</v>
      </c>
    </row>
    <row r="10" spans="2:36" x14ac:dyDescent="0.25">
      <c r="B10" s="1" t="s">
        <v>6</v>
      </c>
      <c r="C10" s="1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8</v>
      </c>
      <c r="C12" s="1">
        <v>300</v>
      </c>
      <c r="E12" t="s">
        <v>0</v>
      </c>
      <c r="F12" s="2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9</v>
      </c>
      <c r="C13" s="1">
        <v>100</v>
      </c>
      <c r="E13" t="s">
        <v>7</v>
      </c>
      <c r="F13">
        <f>C12</f>
        <v>300</v>
      </c>
      <c r="G13">
        <v>280.35167641066431</v>
      </c>
      <c r="H13">
        <v>260.8717063164483</v>
      </c>
      <c r="I13">
        <v>241.72522650740132</v>
      </c>
      <c r="J13">
        <v>223.07105882213924</v>
      </c>
      <c r="K13">
        <v>205.05884148220761</v>
      </c>
      <c r="L13">
        <v>187.82648705928517</v>
      </c>
      <c r="M13">
        <v>171.4980444715784</v>
      </c>
      <c r="N13">
        <v>156.18201874307198</v>
      </c>
      <c r="O13">
        <v>141.97017644810035</v>
      </c>
      <c r="P13">
        <v>128.93683876697091</v>
      </c>
      <c r="Q13">
        <v>117.13863978503235</v>
      </c>
      <c r="R13">
        <v>106.61470672871378</v>
      </c>
      <c r="S13">
        <v>97.387202527873725</v>
      </c>
      <c r="T13">
        <v>89.462160242990052</v>
      </c>
      <c r="U13">
        <v>82.830533813546708</v>
      </c>
      <c r="V13">
        <v>77.469390089732968</v>
      </c>
      <c r="W13">
        <v>73.343172579225552</v>
      </c>
      <c r="X13">
        <v>70.404976796274354</v>
      </c>
      <c r="Y13">
        <v>68.597789324133842</v>
      </c>
      <c r="Z13">
        <v>67.855656364940188</v>
      </c>
      <c r="AA13">
        <v>68.104761340447936</v>
      </c>
      <c r="AB13">
        <v>69.26440384241495</v>
      </c>
      <c r="AC13">
        <v>71.247882961267763</v>
      </c>
      <c r="AD13">
        <v>73.963296091004551</v>
      </c>
      <c r="AE13">
        <v>77.314269394680196</v>
      </c>
      <c r="AF13">
        <v>81.200638231069192</v>
      </c>
      <c r="AG13">
        <v>85.519095308103189</v>
      </c>
      <c r="AH13">
        <v>90.163821710595016</v>
      </c>
      <c r="AI13">
        <v>95.027111987863847</v>
      </c>
      <c r="AJ13">
        <f>C13</f>
        <v>100</v>
      </c>
    </row>
    <row r="15" spans="2:36" x14ac:dyDescent="0.25">
      <c r="B15" s="4" t="s">
        <v>11</v>
      </c>
      <c r="C15" s="5">
        <f>C10/C4^2</f>
        <v>4139999.9999999991</v>
      </c>
    </row>
    <row r="16" spans="2:36" x14ac:dyDescent="0.25">
      <c r="B16" s="4" t="s">
        <v>12</v>
      </c>
      <c r="C16" s="5">
        <f>(2*C10)/(C4^2)+(C9*C8)/C5</f>
        <v>10073999.999999998</v>
      </c>
      <c r="E16" t="s">
        <v>10</v>
      </c>
      <c r="G16">
        <f t="shared" ref="G16:AH16" si="1">G20*H16+G21</f>
        <v>280.72433416029071</v>
      </c>
      <c r="H16">
        <f t="shared" si="1"/>
        <v>261.61015334541958</v>
      </c>
      <c r="I16">
        <f t="shared" si="1"/>
        <v>242.81596624310268</v>
      </c>
      <c r="J16">
        <f t="shared" si="1"/>
        <v>224.49443302625639</v>
      </c>
      <c r="K16">
        <f t="shared" si="1"/>
        <v>206.7896952978609</v>
      </c>
      <c r="L16">
        <f t="shared" si="1"/>
        <v>189.83499422291521</v>
      </c>
      <c r="M16">
        <f t="shared" si="1"/>
        <v>173.75064625220924</v>
      </c>
      <c r="N16">
        <f t="shared" si="1"/>
        <v>158.64242571977661</v>
      </c>
      <c r="O16">
        <f t="shared" si="1"/>
        <v>144.600381543916</v>
      </c>
      <c r="P16">
        <f t="shared" si="1"/>
        <v>131.69809290957548</v>
      </c>
      <c r="Q16">
        <f t="shared" si="1"/>
        <v>119.99234773703029</v>
      </c>
      <c r="R16">
        <f t="shared" si="1"/>
        <v>109.52320934368417</v>
      </c>
      <c r="S16">
        <f t="shared" si="1"/>
        <v>100.31442208349191</v>
      </c>
      <c r="T16">
        <f t="shared" si="1"/>
        <v>92.374096630734215</v>
      </c>
      <c r="U16">
        <f t="shared" si="1"/>
        <v>85.695610279332314</v>
      </c>
      <c r="V16">
        <f t="shared" si="1"/>
        <v>80.258657063104167</v>
      </c>
      <c r="W16">
        <f t="shared" si="1"/>
        <v>76.030386202003541</v>
      </c>
      <c r="X16">
        <f t="shared" si="1"/>
        <v>72.966574577440028</v>
      </c>
      <c r="Y16">
        <f t="shared" si="1"/>
        <v>71.012788658048322</v>
      </c>
      <c r="Z16">
        <f t="shared" si="1"/>
        <v>70.105502450019529</v>
      </c>
      <c r="AA16">
        <f t="shared" si="1"/>
        <v>70.173149545525121</v>
      </c>
      <c r="AB16">
        <f t="shared" si="1"/>
        <v>71.137098196564153</v>
      </c>
      <c r="AC16">
        <f t="shared" si="1"/>
        <v>72.912547734401159</v>
      </c>
      <c r="AD16">
        <f t="shared" si="1"/>
        <v>75.409352007262626</v>
      </c>
      <c r="AE16">
        <f t="shared" si="1"/>
        <v>78.53278051050259</v>
      </c>
      <c r="AF16">
        <f t="shared" si="1"/>
        <v>82.184230497265617</v>
      </c>
      <c r="AG16">
        <f t="shared" si="1"/>
        <v>86.261903799380406</v>
      </c>
      <c r="AH16">
        <f t="shared" si="1"/>
        <v>90.661460781048689</v>
      </c>
      <c r="AI16">
        <f>AI20*AJ16+AI21</f>
        <v>95.276661359913561</v>
      </c>
      <c r="AJ16">
        <f>C13</f>
        <v>100</v>
      </c>
    </row>
    <row r="17" spans="2:35" x14ac:dyDescent="0.25">
      <c r="B17" s="4" t="s">
        <v>13</v>
      </c>
      <c r="C17" s="5">
        <f>C15</f>
        <v>4139999.9999999991</v>
      </c>
    </row>
    <row r="20" spans="2:35" x14ac:dyDescent="0.25">
      <c r="E20" s="6" t="s">
        <v>14</v>
      </c>
      <c r="F20">
        <v>0</v>
      </c>
      <c r="G20">
        <f>$C$15/($C$16-$C$17*F20)</f>
        <v>0.41095890410958902</v>
      </c>
      <c r="H20">
        <f t="shared" ref="H20:AI20" si="2">$C$15/($C$16-$C$17*G20)</f>
        <v>0.49446827726349057</v>
      </c>
      <c r="I20">
        <f t="shared" si="2"/>
        <v>0.51576565211146774</v>
      </c>
      <c r="J20">
        <f t="shared" si="2"/>
        <v>0.52149397895713612</v>
      </c>
      <c r="K20">
        <f t="shared" si="2"/>
        <v>0.52305649933975962</v>
      </c>
      <c r="L20">
        <f t="shared" si="2"/>
        <v>0.52348433598989241</v>
      </c>
      <c r="M20">
        <f t="shared" si="2"/>
        <v>0.52360160483419294</v>
      </c>
      <c r="N20">
        <f t="shared" si="2"/>
        <v>0.52363375707534621</v>
      </c>
      <c r="O20">
        <f t="shared" si="2"/>
        <v>0.52364257312109652</v>
      </c>
      <c r="P20">
        <f t="shared" si="2"/>
        <v>0.5236449905056163</v>
      </c>
      <c r="Q20">
        <f t="shared" si="2"/>
        <v>0.52364565336314417</v>
      </c>
      <c r="R20">
        <f t="shared" si="2"/>
        <v>0.52364583512190344</v>
      </c>
      <c r="S20">
        <f t="shared" si="2"/>
        <v>0.52364588496106157</v>
      </c>
      <c r="T20">
        <f t="shared" si="2"/>
        <v>0.52364589862720901</v>
      </c>
      <c r="U20">
        <f t="shared" si="2"/>
        <v>0.52364590237453534</v>
      </c>
      <c r="V20">
        <f t="shared" si="2"/>
        <v>0.52364590340207107</v>
      </c>
      <c r="W20">
        <f t="shared" si="2"/>
        <v>0.52364590368382657</v>
      </c>
      <c r="X20">
        <f t="shared" si="2"/>
        <v>0.52364590376108522</v>
      </c>
      <c r="Y20">
        <f t="shared" si="2"/>
        <v>0.52364590378227005</v>
      </c>
      <c r="Z20">
        <f t="shared" si="2"/>
        <v>0.52364590378807896</v>
      </c>
      <c r="AA20">
        <f t="shared" si="2"/>
        <v>0.5236459037896718</v>
      </c>
      <c r="AB20">
        <f t="shared" si="2"/>
        <v>0.52364590379010867</v>
      </c>
      <c r="AC20">
        <f t="shared" si="2"/>
        <v>0.52364590379022846</v>
      </c>
      <c r="AD20">
        <f t="shared" si="2"/>
        <v>0.52364590379026121</v>
      </c>
      <c r="AE20">
        <f t="shared" si="2"/>
        <v>0.52364590379027021</v>
      </c>
      <c r="AF20">
        <f t="shared" si="2"/>
        <v>0.52364590379027265</v>
      </c>
      <c r="AG20">
        <f t="shared" si="2"/>
        <v>0.52364590379027331</v>
      </c>
      <c r="AH20">
        <f t="shared" si="2"/>
        <v>0.52364590379027354</v>
      </c>
      <c r="AI20">
        <f t="shared" si="2"/>
        <v>0.52364590379027354</v>
      </c>
    </row>
    <row r="21" spans="2:35" x14ac:dyDescent="0.25">
      <c r="E21" t="s">
        <v>15</v>
      </c>
      <c r="F21">
        <f>C12</f>
        <v>300</v>
      </c>
      <c r="G21" s="7">
        <f>(F21*$C$17-G22)/($C$16-$C$17*F20)</f>
        <v>173.21331223751557</v>
      </c>
      <c r="H21" s="7">
        <f t="shared" ref="H21:AI21" si="3">(G21*$C$17-H22)/($C$16-$C$17*G20)</f>
        <v>141.54536082512271</v>
      </c>
      <c r="I21" s="7">
        <f t="shared" si="3"/>
        <v>127.02944859792133</v>
      </c>
      <c r="J21" s="7">
        <f t="shared" si="3"/>
        <v>116.65485201804114</v>
      </c>
      <c r="K21" s="7">
        <f t="shared" si="3"/>
        <v>107.49526776743939</v>
      </c>
      <c r="L21" s="7">
        <f t="shared" si="3"/>
        <v>98.879252541762781</v>
      </c>
      <c r="M21" s="7">
        <f t="shared" si="3"/>
        <v>90.685217550544962</v>
      </c>
      <c r="N21" s="7">
        <f t="shared" si="3"/>
        <v>82.924784657407315</v>
      </c>
      <c r="O21" s="7">
        <f t="shared" si="3"/>
        <v>75.637653297604643</v>
      </c>
      <c r="P21" s="7">
        <f t="shared" si="3"/>
        <v>68.86470111807165</v>
      </c>
      <c r="Q21" s="7">
        <f t="shared" si="3"/>
        <v>62.640995221828362</v>
      </c>
      <c r="R21" s="7">
        <f t="shared" si="3"/>
        <v>56.99398001700294</v>
      </c>
      <c r="S21" s="7">
        <f t="shared" si="3"/>
        <v>51.94310650581248</v>
      </c>
      <c r="T21" s="7">
        <f t="shared" si="3"/>
        <v>47.499941777606161</v>
      </c>
      <c r="U21" s="7">
        <f t="shared" si="3"/>
        <v>43.668493378154757</v>
      </c>
      <c r="V21" s="7">
        <f t="shared" si="3"/>
        <v>40.445656794347663</v>
      </c>
      <c r="W21" s="7">
        <f t="shared" si="3"/>
        <v>37.821738318686634</v>
      </c>
      <c r="X21" s="7">
        <f t="shared" si="3"/>
        <v>35.781018682001374</v>
      </c>
      <c r="Y21" s="7">
        <f t="shared" si="3"/>
        <v>34.302329467497692</v>
      </c>
      <c r="Z21" s="7">
        <f t="shared" si="3"/>
        <v>33.359620134597002</v>
      </c>
      <c r="AA21" s="7">
        <f t="shared" si="3"/>
        <v>32.922499467410645</v>
      </c>
      <c r="AB21" s="7">
        <f t="shared" si="3"/>
        <v>32.956741240544211</v>
      </c>
      <c r="AC21" s="7">
        <f t="shared" si="3"/>
        <v>33.424749448322643</v>
      </c>
      <c r="AD21" s="7">
        <f t="shared" si="3"/>
        <v>34.285983179678283</v>
      </c>
      <c r="AE21" s="7">
        <f t="shared" si="3"/>
        <v>35.497344854454056</v>
      </c>
      <c r="AF21" s="7">
        <f t="shared" si="3"/>
        <v>37.013537919569508</v>
      </c>
      <c r="AG21" s="7">
        <f t="shared" si="3"/>
        <v>38.787401229741754</v>
      </c>
      <c r="AH21" s="7">
        <f t="shared" si="3"/>
        <v>40.770227333116921</v>
      </c>
      <c r="AI21" s="7">
        <f t="shared" si="3"/>
        <v>42.912070980886213</v>
      </c>
    </row>
    <row r="22" spans="2:35" x14ac:dyDescent="0.25">
      <c r="E22" t="s">
        <v>16</v>
      </c>
      <c r="F22" s="5">
        <f>-(($C$9*$C$8)/$C$5)*F13</f>
        <v>-538200000</v>
      </c>
      <c r="G22" s="5">
        <f t="shared" ref="G22:AI22" si="4">-(($C$9*$C$8)/$C$5)*G13</f>
        <v>-502950907.48073179</v>
      </c>
      <c r="H22" s="5">
        <f t="shared" si="4"/>
        <v>-468003841.13170826</v>
      </c>
      <c r="I22" s="5">
        <f t="shared" si="4"/>
        <v>-433655056.35427797</v>
      </c>
      <c r="J22" s="5">
        <f t="shared" si="4"/>
        <v>-400189479.52691782</v>
      </c>
      <c r="K22" s="5">
        <f t="shared" si="4"/>
        <v>-367875561.61908048</v>
      </c>
      <c r="L22" s="5">
        <f t="shared" si="4"/>
        <v>-336960717.78435761</v>
      </c>
      <c r="M22" s="5">
        <f t="shared" si="4"/>
        <v>-307667491.78201163</v>
      </c>
      <c r="N22" s="5">
        <f t="shared" si="4"/>
        <v>-280190541.62507111</v>
      </c>
      <c r="O22" s="5">
        <f t="shared" si="4"/>
        <v>-254694496.54789203</v>
      </c>
      <c r="P22" s="5">
        <f t="shared" si="4"/>
        <v>-231312688.74794582</v>
      </c>
      <c r="Q22" s="5">
        <f t="shared" si="4"/>
        <v>-210146719.77434805</v>
      </c>
      <c r="R22" s="5">
        <f t="shared" si="4"/>
        <v>-191266783.87131253</v>
      </c>
      <c r="S22" s="5">
        <f t="shared" si="4"/>
        <v>-174712641.33500546</v>
      </c>
      <c r="T22" s="5">
        <f t="shared" si="4"/>
        <v>-160495115.47592416</v>
      </c>
      <c r="U22" s="5">
        <f t="shared" si="4"/>
        <v>-148597977.66150281</v>
      </c>
      <c r="V22" s="5">
        <f t="shared" si="4"/>
        <v>-138980085.82098094</v>
      </c>
      <c r="W22" s="5">
        <f t="shared" si="4"/>
        <v>-131577651.60713065</v>
      </c>
      <c r="X22" s="5">
        <f t="shared" si="4"/>
        <v>-126306528.37251619</v>
      </c>
      <c r="Y22" s="5">
        <f t="shared" si="4"/>
        <v>-123064434.04749611</v>
      </c>
      <c r="Z22" s="5">
        <f t="shared" si="4"/>
        <v>-121733047.5187027</v>
      </c>
      <c r="AA22" s="5">
        <f t="shared" si="4"/>
        <v>-122179941.84476359</v>
      </c>
      <c r="AB22" s="5">
        <f t="shared" si="4"/>
        <v>-124260340.49329242</v>
      </c>
      <c r="AC22" s="5">
        <f t="shared" si="4"/>
        <v>-127818702.03251436</v>
      </c>
      <c r="AD22" s="5">
        <f t="shared" si="4"/>
        <v>-132690153.18726216</v>
      </c>
      <c r="AE22" s="5">
        <f t="shared" si="4"/>
        <v>-138701799.29405627</v>
      </c>
      <c r="AF22" s="5">
        <f t="shared" si="4"/>
        <v>-145673944.98653814</v>
      </c>
      <c r="AG22" s="5">
        <f t="shared" si="4"/>
        <v>-153421256.98273712</v>
      </c>
      <c r="AH22" s="5">
        <f t="shared" si="4"/>
        <v>-161753896.14880747</v>
      </c>
      <c r="AI22" s="5">
        <f t="shared" si="4"/>
        <v>-170478638.90622774</v>
      </c>
    </row>
  </sheetData>
  <conditionalFormatting sqref="F13:AJ13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Пользователь Windows</cp:lastModifiedBy>
  <dcterms:created xsi:type="dcterms:W3CDTF">2015-06-05T18:19:34Z</dcterms:created>
  <dcterms:modified xsi:type="dcterms:W3CDTF">2021-10-25T14:44:27Z</dcterms:modified>
</cp:coreProperties>
</file>